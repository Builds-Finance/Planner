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nal Chouhan\Desktop\Iphone\"/>
    </mc:Choice>
  </mc:AlternateContent>
  <xr:revisionPtr revIDLastSave="0" documentId="13_ncr:1_{3269C83F-FE26-4007-914F-7F411A8847F6}" xr6:coauthVersionLast="47" xr6:coauthVersionMax="47" xr10:uidLastSave="{00000000-0000-0000-0000-000000000000}"/>
  <bookViews>
    <workbookView xWindow="-110" yWindow="-110" windowWidth="19420" windowHeight="10300" xr2:uid="{6EEDEE7B-FAF0-432D-9A35-F233A71A62E9}"/>
  </bookViews>
  <sheets>
    <sheet name="Trade Setup (Futures Sell)" sheetId="8" r:id="rId1"/>
    <sheet name="Trade Setup Batch (Option)" sheetId="3" r:id="rId2"/>
    <sheet name="Sheet1" sheetId="7" r:id="rId3"/>
    <sheet name="Rule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8" l="1"/>
  <c r="D4" i="8"/>
  <c r="E4" i="8" s="1"/>
  <c r="J4" i="8" s="1"/>
  <c r="D3" i="8"/>
  <c r="E3" i="8" s="1"/>
  <c r="D2" i="8"/>
  <c r="H3" i="3"/>
  <c r="H4" i="3"/>
  <c r="H2" i="3"/>
  <c r="E4" i="3"/>
  <c r="F4" i="3" s="1"/>
  <c r="G4" i="3"/>
  <c r="J4" i="3" s="1"/>
  <c r="L4" i="3"/>
  <c r="N4" i="3" s="1"/>
  <c r="E2" i="3"/>
  <c r="F2" i="3" s="1"/>
  <c r="G2" i="3"/>
  <c r="J2" i="3" s="1"/>
  <c r="L2" i="3"/>
  <c r="N2" i="3" s="1"/>
  <c r="O2" i="3" s="1"/>
  <c r="L3" i="3"/>
  <c r="G3" i="3"/>
  <c r="J3" i="3" s="1"/>
  <c r="E3" i="3"/>
  <c r="F3" i="3" s="1"/>
  <c r="O4" i="3" l="1"/>
  <c r="G4" i="8"/>
  <c r="J2" i="8"/>
  <c r="G2" i="8"/>
  <c r="C2" i="8" s="1"/>
  <c r="H2" i="8" s="1"/>
  <c r="J3" i="8"/>
  <c r="G3" i="8"/>
  <c r="N3" i="3"/>
  <c r="O3" i="3" s="1"/>
  <c r="M2" i="3"/>
  <c r="M4" i="3"/>
  <c r="M3" i="3"/>
  <c r="C4" i="8" l="1"/>
  <c r="H4" i="8" s="1"/>
  <c r="C3" i="8"/>
  <c r="H3" i="8" s="1"/>
  <c r="I2" i="8"/>
  <c r="K2" i="8"/>
  <c r="K3" i="8" l="1"/>
  <c r="I3" i="8"/>
  <c r="I4" i="8"/>
  <c r="K4" i="8"/>
</calcChain>
</file>

<file path=xl/sharedStrings.xml><?xml version="1.0" encoding="utf-8"?>
<sst xmlns="http://schemas.openxmlformats.org/spreadsheetml/2006/main" count="154" uniqueCount="136">
  <si>
    <t>Stock</t>
  </si>
  <si>
    <t>SBIN</t>
  </si>
  <si>
    <t>HDFCBANK</t>
  </si>
  <si>
    <t>Max Capital</t>
  </si>
  <si>
    <t>Lot Size</t>
  </si>
  <si>
    <t>Max Lots for trade</t>
  </si>
  <si>
    <t>Profit % on capital</t>
  </si>
  <si>
    <t>Rules:</t>
  </si>
  <si>
    <t>Take trades only in In-The-Money (ITM) option strikes for better liquidity and lower risk.</t>
  </si>
  <si>
    <t>Trade only when a clear trend is established and the stock has settled in a particular direction.</t>
  </si>
  <si>
    <t>Always align your trade direction with the prevailing trend (e.g., buy CE in an uptrend).</t>
  </si>
  <si>
    <t>Select stocks with minimal difference between bid and ask prices to ensure sufficient liquidity.</t>
  </si>
  <si>
    <t>If it is past 12:00 PM and your position is still not profitable, exit at the first profitable level reached—do not wait further.</t>
  </si>
  <si>
    <t>Enter trades where overbought or oversold conditions are clearly visible using reliable technical indicators.</t>
  </si>
  <si>
    <t>First Avg</t>
  </si>
  <si>
    <t>Initial Premium (Fill This)</t>
  </si>
  <si>
    <t>Lots Advised (Batch 1)</t>
  </si>
  <si>
    <t>Sell Target</t>
  </si>
  <si>
    <t>Buy Rate Batch 1 (Fill)</t>
  </si>
  <si>
    <t>Buy Rate Batch 2 (Fill)</t>
  </si>
  <si>
    <t>Buy Rate Avg</t>
  </si>
  <si>
    <t>Over sold or over bought levels to be checked for contra trades</t>
  </si>
  <si>
    <t>15 min trend line to checked for trades along with support and resistance</t>
  </si>
  <si>
    <t>Buy trades to be placed only until 10:55 AM</t>
  </si>
  <si>
    <t>After get direction from 15 min trend line, also check for pivot level, bolinger band for support levels to determine the trade direction further.</t>
  </si>
  <si>
    <t>But check next candle to determine the suitable entry point, take trade around 9:50</t>
  </si>
  <si>
    <t>Max 20 K to be taken from 1 script, hence although the average is done still ensure to exit early so check the system for exact target as per profit column</t>
  </si>
  <si>
    <t>Check the yellow line 20 DMA for support or resistance</t>
  </si>
  <si>
    <t>1. Trading Time Rules</t>
  </si>
  <si>
    <r>
      <t>Do not trade before 9:55 AM</t>
    </r>
    <r>
      <rPr>
        <sz val="11"/>
        <color theme="1"/>
        <rFont val="Aptos Narrow"/>
        <family val="2"/>
        <scheme val="minor"/>
      </rPr>
      <t>; wait for initial market volatility to settle.</t>
    </r>
  </si>
  <si>
    <r>
      <t>Buy trades are allowed only until 10:55 AM</t>
    </r>
    <r>
      <rPr>
        <sz val="11"/>
        <color theme="1"/>
        <rFont val="Aptos Narrow"/>
        <family val="2"/>
        <scheme val="minor"/>
      </rPr>
      <t>.</t>
    </r>
  </si>
  <si>
    <r>
      <t xml:space="preserve">Plan and confirm trades around </t>
    </r>
    <r>
      <rPr>
        <b/>
        <sz val="11"/>
        <color theme="1"/>
        <rFont val="Aptos Narrow"/>
        <family val="2"/>
        <scheme val="minor"/>
      </rPr>
      <t>9:50 AM</t>
    </r>
    <r>
      <rPr>
        <sz val="11"/>
        <color theme="1"/>
        <rFont val="Aptos Narrow"/>
        <family val="2"/>
        <scheme val="minor"/>
      </rPr>
      <t xml:space="preserve">, but </t>
    </r>
    <r>
      <rPr>
        <b/>
        <sz val="11"/>
        <color theme="1"/>
        <rFont val="Aptos Narrow"/>
        <family val="2"/>
        <scheme val="minor"/>
      </rPr>
      <t>execute only after 9:55 AM</t>
    </r>
    <r>
      <rPr>
        <sz val="11"/>
        <color theme="1"/>
        <rFont val="Aptos Narrow"/>
        <family val="2"/>
        <scheme val="minor"/>
      </rPr>
      <t>.</t>
    </r>
  </si>
  <si>
    <r>
      <t xml:space="preserve">If it is </t>
    </r>
    <r>
      <rPr>
        <b/>
        <sz val="11"/>
        <color theme="1"/>
        <rFont val="Aptos Narrow"/>
        <family val="2"/>
        <scheme val="minor"/>
      </rPr>
      <t>past 12:00 PM</t>
    </r>
    <r>
      <rPr>
        <sz val="11"/>
        <color theme="1"/>
        <rFont val="Aptos Narrow"/>
        <family val="2"/>
        <scheme val="minor"/>
      </rPr>
      <t xml:space="preserve"> and your position is still not profitable:</t>
    </r>
  </si>
  <si>
    <t>Exit at the first profitable level reached</t>
  </si>
  <si>
    <t>Do not wait further</t>
  </si>
  <si>
    <t>2. Instrument &amp; Capital Rules</t>
  </si>
  <si>
    <r>
      <t xml:space="preserve">Trade </t>
    </r>
    <r>
      <rPr>
        <b/>
        <sz val="11"/>
        <color theme="1"/>
        <rFont val="Aptos Narrow"/>
        <family val="2"/>
        <scheme val="minor"/>
      </rPr>
      <t>only In-The-Money (ITM) option strikes</t>
    </r>
    <r>
      <rPr>
        <sz val="11"/>
        <color theme="1"/>
        <rFont val="Aptos Narrow"/>
        <family val="2"/>
        <scheme val="minor"/>
      </rPr>
      <t xml:space="preserve"> for:</t>
    </r>
  </si>
  <si>
    <r>
      <t xml:space="preserve">Better </t>
    </r>
    <r>
      <rPr>
        <b/>
        <sz val="11"/>
        <color theme="1"/>
        <rFont val="Aptos Narrow"/>
        <family val="2"/>
        <scheme val="minor"/>
      </rPr>
      <t>liquidity</t>
    </r>
  </si>
  <si>
    <r>
      <t xml:space="preserve">Lower </t>
    </r>
    <r>
      <rPr>
        <b/>
        <sz val="11"/>
        <color theme="1"/>
        <rFont val="Aptos Narrow"/>
        <family val="2"/>
        <scheme val="minor"/>
      </rPr>
      <t>slippage and risk</t>
    </r>
  </si>
  <si>
    <t>Select stocks/options with:</t>
  </si>
  <si>
    <t>Minimal bid–ask spread</t>
  </si>
  <si>
    <r>
      <t xml:space="preserve">Sufficient </t>
    </r>
    <r>
      <rPr>
        <b/>
        <sz val="11"/>
        <color theme="1"/>
        <rFont val="Aptos Narrow"/>
        <family val="2"/>
        <scheme val="minor"/>
      </rPr>
      <t>volume and liquidity</t>
    </r>
  </si>
  <si>
    <t>Maximum capital per script: ₹20,000</t>
  </si>
  <si>
    <r>
      <t xml:space="preserve">Even if averaging is done, </t>
    </r>
    <r>
      <rPr>
        <b/>
        <sz val="11"/>
        <color theme="1"/>
        <rFont val="Aptos Narrow"/>
        <family val="2"/>
        <scheme val="minor"/>
      </rPr>
      <t>exit early</t>
    </r>
    <r>
      <rPr>
        <sz val="11"/>
        <color theme="1"/>
        <rFont val="Aptos Narrow"/>
        <family val="2"/>
        <scheme val="minor"/>
      </rPr>
      <t xml:space="preserve"> based on system-defined targets</t>
    </r>
  </si>
  <si>
    <r>
      <t xml:space="preserve">Follow the </t>
    </r>
    <r>
      <rPr>
        <b/>
        <sz val="11"/>
        <color theme="1"/>
        <rFont val="Aptos Narrow"/>
        <family val="2"/>
        <scheme val="minor"/>
      </rPr>
      <t>profit column / predefined targets strictly</t>
    </r>
  </si>
  <si>
    <t>3. Trend Identification Rules</t>
  </si>
  <si>
    <t>Trade only when a clear trend is established.</t>
  </si>
  <si>
    <r>
      <t xml:space="preserve">Always align trades with the </t>
    </r>
    <r>
      <rPr>
        <b/>
        <sz val="11"/>
        <color theme="1"/>
        <rFont val="Aptos Narrow"/>
        <family val="2"/>
        <scheme val="minor"/>
      </rPr>
      <t>prevailing trend</t>
    </r>
    <r>
      <rPr>
        <sz val="11"/>
        <color theme="1"/>
        <rFont val="Aptos Narrow"/>
        <family val="2"/>
        <scheme val="minor"/>
      </rPr>
      <t>:</t>
    </r>
  </si>
  <si>
    <t>Uptrend → Buy Call (CE)</t>
  </si>
  <si>
    <t>Downtrend → Buy Put (PE)</t>
  </si>
  <si>
    <r>
      <t xml:space="preserve">Use the </t>
    </r>
    <r>
      <rPr>
        <b/>
        <sz val="11"/>
        <color theme="1"/>
        <rFont val="Aptos Narrow"/>
        <family val="2"/>
        <scheme val="minor"/>
      </rPr>
      <t>15-minute timeframe</t>
    </r>
    <r>
      <rPr>
        <sz val="11"/>
        <color theme="1"/>
        <rFont val="Aptos Narrow"/>
        <family val="2"/>
        <scheme val="minor"/>
      </rPr>
      <t xml:space="preserve"> to:</t>
    </r>
  </si>
  <si>
    <r>
      <t xml:space="preserve">Draw and confirm </t>
    </r>
    <r>
      <rPr>
        <b/>
        <sz val="11"/>
        <color theme="1"/>
        <rFont val="Aptos Narrow"/>
        <family val="2"/>
        <scheme val="minor"/>
      </rPr>
      <t>trend lines</t>
    </r>
  </si>
  <si>
    <r>
      <t xml:space="preserve">Identify </t>
    </r>
    <r>
      <rPr>
        <b/>
        <sz val="11"/>
        <color theme="1"/>
        <rFont val="Aptos Narrow"/>
        <family val="2"/>
        <scheme val="minor"/>
      </rPr>
      <t>support and resistance levels</t>
    </r>
  </si>
  <si>
    <r>
      <t>Contra trades</t>
    </r>
    <r>
      <rPr>
        <sz val="11"/>
        <color theme="1"/>
        <rFont val="Aptos Narrow"/>
        <family val="2"/>
        <scheme val="minor"/>
      </rPr>
      <t xml:space="preserve"> (against trend) are allowed </t>
    </r>
    <r>
      <rPr>
        <b/>
        <sz val="11"/>
        <color theme="1"/>
        <rFont val="Aptos Narrow"/>
        <family val="2"/>
        <scheme val="minor"/>
      </rPr>
      <t>only</t>
    </r>
    <r>
      <rPr>
        <sz val="11"/>
        <color theme="1"/>
        <rFont val="Aptos Narrow"/>
        <family val="2"/>
        <scheme val="minor"/>
      </rPr>
      <t xml:space="preserve"> when:</t>
    </r>
  </si>
  <si>
    <r>
      <t xml:space="preserve">Strong </t>
    </r>
    <r>
      <rPr>
        <b/>
        <sz val="11"/>
        <color theme="1"/>
        <rFont val="Aptos Narrow"/>
        <family val="2"/>
        <scheme val="minor"/>
      </rPr>
      <t>overbought or oversold</t>
    </r>
    <r>
      <rPr>
        <sz val="11"/>
        <color theme="1"/>
        <rFont val="Aptos Narrow"/>
        <family val="2"/>
        <scheme val="minor"/>
      </rPr>
      <t xml:space="preserve"> conditions are clearly visible with reliable indicators</t>
    </r>
  </si>
  <si>
    <t>4. Technical Indicator Confirmation</t>
  </si>
  <si>
    <t>Before entering a trade, confirm alignment of multiple indicators:</t>
  </si>
  <si>
    <r>
      <t>15-minute trend lines</t>
    </r>
    <r>
      <rPr>
        <sz val="11"/>
        <color theme="1"/>
        <rFont val="Aptos Narrow"/>
        <family val="2"/>
        <scheme val="minor"/>
      </rPr>
      <t xml:space="preserve"> — dominant directional bias</t>
    </r>
  </si>
  <si>
    <r>
      <t>Pivot levels</t>
    </r>
    <r>
      <rPr>
        <sz val="11"/>
        <color theme="1"/>
        <rFont val="Aptos Narrow"/>
        <family val="2"/>
        <scheme val="minor"/>
      </rPr>
      <t xml:space="preserve"> — key support/resistance confluence</t>
    </r>
  </si>
  <si>
    <r>
      <t>Bollinger Bands</t>
    </r>
    <r>
      <rPr>
        <sz val="11"/>
        <color theme="1"/>
        <rFont val="Aptos Narrow"/>
        <family val="2"/>
        <scheme val="minor"/>
      </rPr>
      <t>:</t>
    </r>
  </si>
  <si>
    <t>Price reaction near upper/lower bands</t>
  </si>
  <si>
    <t>Strength of support/resistance at the band levels</t>
  </si>
  <si>
    <r>
      <t>20 DMA (Yellow Line)</t>
    </r>
    <r>
      <rPr>
        <sz val="11"/>
        <color theme="1"/>
        <rFont val="Aptos Narrow"/>
        <family val="2"/>
        <scheme val="minor"/>
      </rPr>
      <t>:</t>
    </r>
  </si>
  <si>
    <r>
      <t xml:space="preserve">Acts as </t>
    </r>
    <r>
      <rPr>
        <b/>
        <sz val="11"/>
        <color theme="1"/>
        <rFont val="Aptos Narrow"/>
        <family val="2"/>
        <scheme val="minor"/>
      </rPr>
      <t>dynamic support/resistance</t>
    </r>
  </si>
  <si>
    <t>Confirm trade bias based on price interaction with 20 DMA</t>
  </si>
  <si>
    <r>
      <t>Overbought / Oversold Indicators</t>
    </r>
    <r>
      <rPr>
        <sz val="11"/>
        <color theme="1"/>
        <rFont val="Aptos Narrow"/>
        <family val="2"/>
        <scheme val="minor"/>
      </rPr>
      <t xml:space="preserve"> (e.g., RSI, Stochastic):</t>
    </r>
  </si>
  <si>
    <r>
      <t xml:space="preserve">Mandatory for </t>
    </r>
    <r>
      <rPr>
        <b/>
        <sz val="11"/>
        <color theme="1"/>
        <rFont val="Aptos Narrow"/>
        <family val="2"/>
        <scheme val="minor"/>
      </rPr>
      <t>contra trade setups</t>
    </r>
  </si>
  <si>
    <t>Must show clear extremes, not borderline levels</t>
  </si>
  <si>
    <t>5. Entry Rules</t>
  </si>
  <si>
    <t>1. Determine trade direction using:</t>
  </si>
  <si>
    <t>15-minute trend line</t>
  </si>
  <si>
    <t>Pivot levels</t>
  </si>
  <si>
    <t>Bollinger Bands</t>
  </si>
  <si>
    <t>20 DMA interaction</t>
  </si>
  <si>
    <r>
      <t>2. Wait for the next candle</t>
    </r>
    <r>
      <rPr>
        <sz val="11"/>
        <color theme="1"/>
        <rFont val="Aptos Narrow"/>
        <family val="2"/>
        <scheme val="minor"/>
      </rPr>
      <t xml:space="preserve"> to confirm valid price action before entering.</t>
    </r>
  </si>
  <si>
    <t>3. Execute trade near:</t>
  </si>
  <si>
    <t>Support levels in an uptrend</t>
  </si>
  <si>
    <t>Resistance levels in a downtrend</t>
  </si>
  <si>
    <r>
      <t>4. Avoid entering without confirmation</t>
    </r>
    <r>
      <rPr>
        <sz val="11"/>
        <color theme="1"/>
        <rFont val="Aptos Narrow"/>
        <family val="2"/>
        <scheme val="minor"/>
      </rPr>
      <t xml:space="preserve"> — no chasing breakouts without proper signal.</t>
    </r>
  </si>
  <si>
    <t>6. Exit &amp; Risk Management Rules</t>
  </si>
  <si>
    <r>
      <t>Exit early</t>
    </r>
    <r>
      <rPr>
        <sz val="11"/>
        <color theme="1"/>
        <rFont val="Aptos Narrow"/>
        <family val="2"/>
        <scheme val="minor"/>
      </rPr>
      <t xml:space="preserve"> if:</t>
    </r>
  </si>
  <si>
    <t>Price action weakens</t>
  </si>
  <si>
    <t>Momentum stalls near support/resistance</t>
  </si>
  <si>
    <t>Any system-defined exit level is reached</t>
  </si>
  <si>
    <r>
      <t xml:space="preserve">If position is </t>
    </r>
    <r>
      <rPr>
        <b/>
        <sz val="11"/>
        <color theme="1"/>
        <rFont val="Aptos Narrow"/>
        <family val="2"/>
        <scheme val="minor"/>
      </rPr>
      <t>not profitable after 12:00 PM</t>
    </r>
    <r>
      <rPr>
        <sz val="11"/>
        <color theme="1"/>
        <rFont val="Aptos Narrow"/>
        <family val="2"/>
        <scheme val="minor"/>
      </rPr>
      <t>:</t>
    </r>
  </si>
  <si>
    <r>
      <t xml:space="preserve">Exit at the </t>
    </r>
    <r>
      <rPr>
        <b/>
        <sz val="11"/>
        <color theme="1"/>
        <rFont val="Aptos Narrow"/>
        <family val="2"/>
        <scheme val="minor"/>
      </rPr>
      <t>first profitable level</t>
    </r>
  </si>
  <si>
    <r>
      <t>No waiting for reversal</t>
    </r>
    <r>
      <rPr>
        <sz val="11"/>
        <color theme="1"/>
        <rFont val="Aptos Narrow"/>
        <family val="2"/>
        <scheme val="minor"/>
      </rPr>
      <t xml:space="preserve"> beyond target rules or time constraints.</t>
    </r>
  </si>
  <si>
    <r>
      <t xml:space="preserve">Always stick to </t>
    </r>
    <r>
      <rPr>
        <b/>
        <sz val="11"/>
        <color theme="1"/>
        <rFont val="Aptos Narrow"/>
        <family val="2"/>
        <scheme val="minor"/>
      </rPr>
      <t>predetermined targets and exit rules</t>
    </r>
    <r>
      <rPr>
        <sz val="11"/>
        <color theme="1"/>
        <rFont val="Aptos Narrow"/>
        <family val="2"/>
        <scheme val="minor"/>
      </rPr>
      <t>, not emotions.</t>
    </r>
  </si>
  <si>
    <t>7. Discipline &amp; Execution Rules</t>
  </si>
  <si>
    <t>No trades without:</t>
  </si>
  <si>
    <t>A confirmed trend</t>
  </si>
  <si>
    <t>Indicator alignment</t>
  </si>
  <si>
    <t>Liquidity confirmation</t>
  </si>
  <si>
    <t>Never exceed ₹20,000 exposure per script</t>
  </si>
  <si>
    <r>
      <t xml:space="preserve">Follow your system </t>
    </r>
    <r>
      <rPr>
        <b/>
        <sz val="11"/>
        <color theme="1"/>
        <rFont val="Aptos Narrow"/>
        <family val="2"/>
        <scheme val="minor"/>
      </rPr>
      <t>consistently and strictly</t>
    </r>
  </si>
  <si>
    <r>
      <t xml:space="preserve">Do </t>
    </r>
    <r>
      <rPr>
        <b/>
        <sz val="11"/>
        <color theme="1"/>
        <rFont val="Aptos Narrow"/>
        <family val="2"/>
        <scheme val="minor"/>
      </rPr>
      <t>not trade out of boredom or fear of missing out (FOMO)</t>
    </r>
  </si>
  <si>
    <t>Enter trades only after 09:55 AM, once the initial market volatility has settled.</t>
  </si>
  <si>
    <t>Quick Summary Checklist</t>
  </si>
  <si>
    <r>
      <t>✔</t>
    </r>
    <r>
      <rPr>
        <sz val="11"/>
        <color theme="1"/>
        <rFont val="Aptos"/>
        <family val="2"/>
      </rPr>
      <t xml:space="preserve"> Entry allowed after </t>
    </r>
    <r>
      <rPr>
        <b/>
        <sz val="11"/>
        <color theme="1"/>
        <rFont val="Aptos"/>
        <family val="2"/>
      </rPr>
      <t>9:55 AM</t>
    </r>
  </si>
  <si>
    <r>
      <t>✔</t>
    </r>
    <r>
      <rPr>
        <sz val="11"/>
        <color theme="1"/>
        <rFont val="Aptos"/>
        <family val="2"/>
      </rPr>
      <t xml:space="preserve"> Buy trades only until </t>
    </r>
    <r>
      <rPr>
        <b/>
        <sz val="11"/>
        <color theme="1"/>
        <rFont val="Aptos"/>
        <family val="2"/>
      </rPr>
      <t>10:55 AM</t>
    </r>
  </si>
  <si>
    <r>
      <t>✔</t>
    </r>
    <r>
      <rPr>
        <sz val="11"/>
        <color theme="1"/>
        <rFont val="Aptos"/>
        <family val="2"/>
      </rPr>
      <t xml:space="preserve"> ITM options only</t>
    </r>
  </si>
  <si>
    <r>
      <t>✔</t>
    </r>
    <r>
      <rPr>
        <sz val="11"/>
        <color theme="1"/>
        <rFont val="Aptos"/>
        <family val="2"/>
      </rPr>
      <t xml:space="preserve"> Trend + indicator confirmation required</t>
    </r>
  </si>
  <si>
    <r>
      <t>✔</t>
    </r>
    <r>
      <rPr>
        <sz val="11"/>
        <color theme="1"/>
        <rFont val="Aptos"/>
        <family val="2"/>
      </rPr>
      <t xml:space="preserve"> Max ₹15,000 per script</t>
    </r>
  </si>
  <si>
    <r>
      <t>✔</t>
    </r>
    <r>
      <rPr>
        <sz val="11"/>
        <color theme="1"/>
        <rFont val="Aptos"/>
        <family val="2"/>
      </rPr>
      <t xml:space="preserve"> 15-min trend, pivot, Bollinger, 20 DMA alignment</t>
    </r>
  </si>
  <si>
    <r>
      <t>✔</t>
    </r>
    <r>
      <rPr>
        <sz val="11"/>
        <color theme="1"/>
        <rFont val="Aptos"/>
        <family val="2"/>
      </rPr>
      <t xml:space="preserve"> Contra trades only with strong overbought/oversold signals</t>
    </r>
  </si>
  <si>
    <r>
      <t>✔</t>
    </r>
    <r>
      <rPr>
        <sz val="11"/>
        <color theme="1"/>
        <rFont val="Aptos"/>
        <family val="2"/>
      </rPr>
      <t xml:space="preserve"> Exit at profit if still not profitable past </t>
    </r>
    <r>
      <rPr>
        <b/>
        <sz val="11"/>
        <color theme="1"/>
        <rFont val="Aptos"/>
        <family val="2"/>
      </rPr>
      <t>12:00 PM</t>
    </r>
    <r>
      <rPr>
        <sz val="11"/>
        <color theme="1"/>
        <rFont val="Segoe UI Symbol"/>
        <family val="2"/>
      </rPr>
      <t>. Revise all selling trades to just 5 or 10 paise targets.</t>
    </r>
  </si>
  <si>
    <r>
      <t>✔</t>
    </r>
    <r>
      <rPr>
        <sz val="11"/>
        <color theme="1"/>
        <rFont val="Aptos"/>
        <family val="2"/>
      </rPr>
      <t xml:space="preserve"> After </t>
    </r>
    <r>
      <rPr>
        <b/>
        <sz val="11"/>
        <color theme="1"/>
        <rFont val="Aptos"/>
        <family val="2"/>
      </rPr>
      <t>12:00 PM,</t>
    </r>
    <r>
      <rPr>
        <sz val="11"/>
        <color theme="1"/>
        <rFont val="Segoe UI Symbol"/>
        <family val="2"/>
      </rPr>
      <t xml:space="preserve"> Revise all selling trades to just 5 or 10 paise targets.</t>
    </r>
  </si>
  <si>
    <r>
      <t>✔</t>
    </r>
    <r>
      <rPr>
        <sz val="11"/>
        <color theme="1"/>
        <rFont val="Aptos"/>
        <family val="2"/>
      </rPr>
      <t xml:space="preserve"> As soon as an entry is done, exit calls to be placed immediately with no cancellations allowed.</t>
    </r>
  </si>
  <si>
    <t>I missed to check bollinger band and pivot while entering SBI trade today</t>
  </si>
  <si>
    <t>Channel break did not complete before entering</t>
  </si>
  <si>
    <t>HDFC bank channel break happened but I should have got confirmation on false breakout. Hence trade should be made after 10 AM</t>
  </si>
  <si>
    <t>I started to average before the calculated average price generated by system although I took half the lots</t>
  </si>
  <si>
    <t>Mistakes Made Today 01 Jan</t>
  </si>
  <si>
    <t>Rules</t>
  </si>
  <si>
    <t>No entries before 10:00 AM.</t>
  </si>
  <si>
    <t>Buy-side entries allowed only until 10:55 AM.</t>
  </si>
  <si>
    <t>If a buy trade is not profitable by 12:00 PM → focus only on exit.</t>
  </si>
  <si>
    <t>All option-selling trades after 12:00 PM must target only ₹0.05–₹0.10.</t>
  </si>
  <si>
    <t>Determine the direction of stock based upon which side the channel is breaked.</t>
  </si>
  <si>
    <t>Determine the best entry point based on the next candle after the channel break happened to confirm on the trend avoiding false breakout</t>
  </si>
  <si>
    <t>Confirm channel (15 min candle) break only on candle close.</t>
  </si>
  <si>
    <t>If False breakout identified / breakout is week then take trade in reverse immediately and exit the trade in 15-20 mins</t>
  </si>
  <si>
    <t>All the trades are supposed to be exited in 20-30 mins only as these are relatively only as the identified trend is only for few mins and is supposed to be traded for immediate momentum</t>
  </si>
  <si>
    <t>RSI batch accumulation needs to be 2</t>
  </si>
  <si>
    <t>Every stock to have single directional trade</t>
  </si>
  <si>
    <t>RSI Target</t>
  </si>
  <si>
    <t>RSI Profit % on capital</t>
  </si>
  <si>
    <t>RSI Profit</t>
  </si>
  <si>
    <t>Profit % = (3000 / (Buy Price × Lot Size)) × 100</t>
  </si>
  <si>
    <t>Sell Price = Buy Price + (3000 / Lot Size)</t>
  </si>
  <si>
    <t>First Avg %</t>
  </si>
  <si>
    <t>Wipro</t>
  </si>
  <si>
    <t>Entry</t>
  </si>
  <si>
    <t>First Avg Diff</t>
  </si>
  <si>
    <t>Target Diff</t>
  </si>
  <si>
    <t>Avg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</si>
</sst>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Segoe UI Symbol"/>
      <family val="2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3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1" fontId="0" fillId="3" borderId="1" xfId="0" applyNumberFormat="1" applyFill="1" applyBorder="1"/>
    <xf numFmtId="1" fontId="0" fillId="2" borderId="1" xfId="0" applyNumberFormat="1" applyFill="1" applyBorder="1"/>
    <xf numFmtId="0" fontId="1" fillId="0" borderId="0" xfId="0" applyFont="1"/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0" xfId="0" applyFill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0" fillId="0" borderId="0" xfId="0" applyNumberFormat="1"/>
    <xf numFmtId="1" fontId="0" fillId="0" borderId="0" xfId="0" applyNumberFormat="1"/>
    <xf numFmtId="0" fontId="1" fillId="0" borderId="2" xfId="0" applyFont="1" applyBorder="1"/>
    <xf numFmtId="0" fontId="1" fillId="4" borderId="1" xfId="0" applyFont="1" applyFill="1" applyBorder="1"/>
    <xf numFmtId="0" fontId="0" fillId="4" borderId="1" xfId="0" applyFill="1" applyBorder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FE61-6B9B-40DC-9EA5-E7DB39761B9A}">
  <dimension ref="A1:K19"/>
  <sheetViews>
    <sheetView tabSelected="1" zoomScale="90" zoomScaleNormal="90" workbookViewId="0"/>
  </sheetViews>
  <sheetFormatPr defaultRowHeight="14.5"/>
  <cols>
    <col min="1" max="1" width="10.90625" customWidth="1"/>
    <col min="3" max="3" width="19.36328125" hidden="1" customWidth="1"/>
    <col min="4" max="4" width="12" hidden="1" customWidth="1"/>
    <col min="5" max="5" width="19.36328125" hidden="1" customWidth="1"/>
    <col min="6" max="6" width="11.36328125" bestFit="1" customWidth="1"/>
    <col min="7" max="7" width="8.54296875" hidden="1" customWidth="1"/>
    <col min="8" max="8" width="9.1796875" hidden="1" customWidth="1"/>
    <col min="9" max="9" width="10.08984375" hidden="1" customWidth="1"/>
    <col min="10" max="10" width="11.36328125" bestFit="1" customWidth="1"/>
  </cols>
  <sheetData>
    <row r="1" spans="1:11">
      <c r="A1" s="1" t="s">
        <v>0</v>
      </c>
      <c r="B1" s="1" t="s">
        <v>4</v>
      </c>
      <c r="C1" s="22" t="s">
        <v>126</v>
      </c>
      <c r="D1" s="22" t="s">
        <v>130</v>
      </c>
      <c r="E1" s="1" t="s">
        <v>14</v>
      </c>
      <c r="F1" s="1" t="s">
        <v>132</v>
      </c>
      <c r="G1" s="1" t="s">
        <v>135</v>
      </c>
      <c r="H1" s="1" t="s">
        <v>125</v>
      </c>
      <c r="I1" s="1"/>
      <c r="J1" s="1" t="s">
        <v>133</v>
      </c>
      <c r="K1" s="1" t="s">
        <v>134</v>
      </c>
    </row>
    <row r="2" spans="1:11">
      <c r="A2" s="4" t="s">
        <v>2</v>
      </c>
      <c r="B2" s="4">
        <v>550</v>
      </c>
      <c r="C2" s="23">
        <f>3000/(G2*B2)</f>
        <v>4.577357339029601E-3</v>
      </c>
      <c r="D2" s="23">
        <f>4000/(F2*B2)</f>
        <v>6.1218243036424858E-3</v>
      </c>
      <c r="E2" s="8">
        <f>F2*D2+F2</f>
        <v>1195.2727272727273</v>
      </c>
      <c r="F2" s="8">
        <v>1188</v>
      </c>
      <c r="G2" s="8">
        <f>AVERAGE(E2:F2)</f>
        <v>1191.6363636363635</v>
      </c>
      <c r="H2" s="8">
        <f>(G2*C2)+G2</f>
        <v>1197.090909090909</v>
      </c>
      <c r="I2" s="8">
        <f>(H2-F2)*B2</f>
        <v>4999.9999999999545</v>
      </c>
      <c r="J2" s="8">
        <f>E2-F2</f>
        <v>7.2727272727272521</v>
      </c>
      <c r="K2" s="8">
        <f>H2-G2</f>
        <v>5.4545454545454959</v>
      </c>
    </row>
    <row r="3" spans="1:11">
      <c r="A3" s="4" t="s">
        <v>1</v>
      </c>
      <c r="B3" s="4">
        <v>200</v>
      </c>
      <c r="C3" s="23">
        <f>3000/(G3*B3)</f>
        <v>3.875968992248062E-3</v>
      </c>
      <c r="D3" s="23">
        <f>4000/(F3*B3)</f>
        <v>5.1813471502590676E-3</v>
      </c>
      <c r="E3" s="8">
        <f>F3*D3+F3</f>
        <v>3880</v>
      </c>
      <c r="F3" s="8">
        <v>3860</v>
      </c>
      <c r="G3" s="8">
        <f>AVERAGE(E3:F3)</f>
        <v>3870</v>
      </c>
      <c r="H3" s="8">
        <f>(G3*C3)+G3</f>
        <v>3885</v>
      </c>
      <c r="I3" s="8">
        <f>(H3-F3)*B3</f>
        <v>5000</v>
      </c>
      <c r="J3" s="8">
        <f>E3-F3</f>
        <v>20</v>
      </c>
      <c r="K3" s="8">
        <f>H3-G3</f>
        <v>15</v>
      </c>
    </row>
    <row r="4" spans="1:11">
      <c r="A4" s="4" t="s">
        <v>131</v>
      </c>
      <c r="B4" s="4">
        <v>3000</v>
      </c>
      <c r="C4" s="23">
        <f>3000/(G4*B4)</f>
        <v>2.4215029461619179E-2</v>
      </c>
      <c r="D4" s="23">
        <f>4000/(F4*B4)</f>
        <v>3.2816473869882679E-2</v>
      </c>
      <c r="E4" s="8">
        <f>F4*D4+F4</f>
        <v>41.963333333333338</v>
      </c>
      <c r="F4" s="8">
        <v>40.630000000000003</v>
      </c>
      <c r="G4" s="8">
        <f>AVERAGE(E4:F4)</f>
        <v>41.296666666666667</v>
      </c>
      <c r="H4" s="8">
        <f>(G4*C4)+G4</f>
        <v>42.296666666666667</v>
      </c>
      <c r="I4" s="8">
        <f>(H4-F4)*B4</f>
        <v>4999.9999999999927</v>
      </c>
      <c r="J4" s="8">
        <f>E4-F4</f>
        <v>1.3333333333333357</v>
      </c>
      <c r="K4" s="8">
        <f>H4-G4</f>
        <v>1</v>
      </c>
    </row>
    <row r="5" spans="1:11">
      <c r="F5" s="19"/>
      <c r="G5" s="19"/>
      <c r="I5" s="19"/>
    </row>
    <row r="6" spans="1:11">
      <c r="A6" s="17" t="s">
        <v>97</v>
      </c>
    </row>
    <row r="7" spans="1:11" ht="16.5">
      <c r="A7" s="18" t="s">
        <v>98</v>
      </c>
    </row>
    <row r="8" spans="1:11" ht="16.5">
      <c r="A8" s="18" t="s">
        <v>99</v>
      </c>
    </row>
    <row r="9" spans="1:11" ht="16.5">
      <c r="A9" s="18" t="s">
        <v>105</v>
      </c>
    </row>
    <row r="10" spans="1:11" ht="16.5">
      <c r="A10" s="18" t="s">
        <v>106</v>
      </c>
    </row>
    <row r="11" spans="1:11" ht="16.5">
      <c r="A11" s="18" t="s">
        <v>107</v>
      </c>
    </row>
    <row r="12" spans="1:11" ht="16.5">
      <c r="A12" s="18" t="s">
        <v>100</v>
      </c>
    </row>
    <row r="13" spans="1:11" ht="16.5">
      <c r="A13" s="18" t="s">
        <v>101</v>
      </c>
    </row>
    <row r="14" spans="1:11" ht="16.5">
      <c r="A14" s="18" t="s">
        <v>102</v>
      </c>
    </row>
    <row r="15" spans="1:11" ht="16.5">
      <c r="A15" s="18" t="s">
        <v>103</v>
      </c>
    </row>
    <row r="16" spans="1:11" ht="16.5">
      <c r="A16" s="18" t="s">
        <v>104</v>
      </c>
    </row>
    <row r="18" spans="1:1">
      <c r="A18" s="24" t="s">
        <v>129</v>
      </c>
    </row>
    <row r="19" spans="1:1">
      <c r="A19" s="24" t="s">
        <v>128</v>
      </c>
    </row>
  </sheetData>
  <pageMargins left="0.7" right="0.7" top="0.75" bottom="0.75" header="0.3" footer="0.3"/>
  <pageSetup orientation="portrait" r:id="rId1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D4C0-827D-4207-AC6F-5B6FBB71CC60}">
  <dimension ref="A1:P16"/>
  <sheetViews>
    <sheetView zoomScale="90" zoomScaleNormal="90" workbookViewId="0">
      <pane xSplit="1" topLeftCell="D1" activePane="topRight" state="frozen"/>
      <selection pane="topRight" activeCell="G4" sqref="G4"/>
    </sheetView>
  </sheetViews>
  <sheetFormatPr defaultRowHeight="14.5"/>
  <cols>
    <col min="1" max="1" width="10.90625" customWidth="1"/>
    <col min="2" max="2" width="10.6328125" bestFit="1" customWidth="1"/>
    <col min="4" max="4" width="22.08984375" customWidth="1"/>
    <col min="5" max="5" width="15.453125" hidden="1" customWidth="1"/>
    <col min="6" max="6" width="19.26953125" bestFit="1" customWidth="1"/>
    <col min="7" max="7" width="16.1796875" bestFit="1" customWidth="1"/>
    <col min="8" max="8" width="19.36328125" bestFit="1" customWidth="1"/>
    <col min="9" max="9" width="19.08984375" bestFit="1" customWidth="1"/>
    <col min="11" max="11" width="19.08984375" bestFit="1" customWidth="1"/>
    <col min="12" max="12" width="11.36328125" bestFit="1" customWidth="1"/>
    <col min="13" max="13" width="9.453125" bestFit="1" customWidth="1"/>
    <col min="15" max="15" width="9.08984375" bestFit="1" customWidth="1"/>
  </cols>
  <sheetData>
    <row r="1" spans="1:16">
      <c r="A1" s="1" t="s">
        <v>0</v>
      </c>
      <c r="B1" s="1" t="s">
        <v>3</v>
      </c>
      <c r="C1" s="1" t="s">
        <v>4</v>
      </c>
      <c r="D1" s="2" t="s">
        <v>15</v>
      </c>
      <c r="E1" s="2" t="s">
        <v>5</v>
      </c>
      <c r="F1" s="3" t="s">
        <v>16</v>
      </c>
      <c r="G1" s="22" t="s">
        <v>6</v>
      </c>
      <c r="H1" s="22" t="s">
        <v>126</v>
      </c>
      <c r="I1" s="2" t="s">
        <v>18</v>
      </c>
      <c r="J1" s="1" t="s">
        <v>14</v>
      </c>
      <c r="K1" s="2" t="s">
        <v>19</v>
      </c>
      <c r="L1" s="1" t="s">
        <v>20</v>
      </c>
      <c r="M1" s="1" t="s">
        <v>17</v>
      </c>
      <c r="N1" s="21" t="s">
        <v>125</v>
      </c>
      <c r="O1" s="7" t="s">
        <v>127</v>
      </c>
      <c r="P1" s="7"/>
    </row>
    <row r="2" spans="1:16">
      <c r="A2" s="4" t="s">
        <v>2</v>
      </c>
      <c r="B2" s="4">
        <v>600000</v>
      </c>
      <c r="C2" s="4">
        <v>550</v>
      </c>
      <c r="D2" s="9">
        <v>21.9</v>
      </c>
      <c r="E2" s="5">
        <f t="shared" ref="E2" si="0">B2/(C2*D2)</f>
        <v>49.813200498132005</v>
      </c>
      <c r="F2" s="6">
        <f t="shared" ref="F2" si="1">E2/4</f>
        <v>12.453300124533001</v>
      </c>
      <c r="G2" s="23">
        <f t="shared" ref="G2:G4" si="2">5500/200000</f>
        <v>2.75E-2</v>
      </c>
      <c r="H2" s="23">
        <f>11000/200000</f>
        <v>5.5E-2</v>
      </c>
      <c r="I2" s="9">
        <v>21.8</v>
      </c>
      <c r="J2" s="8">
        <f t="shared" ref="J2" si="3">I2-(G2*I2*6)</f>
        <v>18.202999999999999</v>
      </c>
      <c r="K2" s="10"/>
      <c r="L2" s="8">
        <f t="shared" ref="L2" si="4">AVERAGE(I2,K2)</f>
        <v>21.8</v>
      </c>
      <c r="M2" s="8">
        <f t="shared" ref="M2" si="5">(L2*G2)+L2</f>
        <v>22.3995</v>
      </c>
      <c r="N2" s="8">
        <f>(L2*H2)+L2</f>
        <v>22.999000000000002</v>
      </c>
      <c r="O2" s="19">
        <f>(N2-L2)*F2*C2</f>
        <v>8212.3287671232993</v>
      </c>
    </row>
    <row r="3" spans="1:16">
      <c r="A3" s="4" t="s">
        <v>1</v>
      </c>
      <c r="B3" s="4">
        <v>600000</v>
      </c>
      <c r="C3" s="4">
        <v>750</v>
      </c>
      <c r="D3" s="9">
        <v>48</v>
      </c>
      <c r="E3" s="5">
        <f>B3/(C3*D3)</f>
        <v>16.666666666666668</v>
      </c>
      <c r="F3" s="6">
        <f>E3/4</f>
        <v>4.166666666666667</v>
      </c>
      <c r="G3" s="23">
        <f>5500/200000</f>
        <v>2.75E-2</v>
      </c>
      <c r="H3" s="23">
        <f>11000/200000</f>
        <v>5.5E-2</v>
      </c>
      <c r="I3" s="9">
        <v>48</v>
      </c>
      <c r="J3" s="8">
        <f>I3-(G3*I3*6)</f>
        <v>40.08</v>
      </c>
      <c r="K3" s="10"/>
      <c r="L3" s="8">
        <f>AVERAGE(I3,K3)</f>
        <v>48</v>
      </c>
      <c r="M3" s="8">
        <f>(L3*G3)+L3</f>
        <v>49.32</v>
      </c>
      <c r="N3" s="8">
        <f>(L3*H3)+L3</f>
        <v>50.64</v>
      </c>
      <c r="O3" s="19">
        <f>(N3-L3)*F3*C3</f>
        <v>8250.0000000000018</v>
      </c>
    </row>
    <row r="4" spans="1:16">
      <c r="A4" s="4"/>
      <c r="B4" s="4">
        <v>600000</v>
      </c>
      <c r="C4" s="4">
        <v>3000</v>
      </c>
      <c r="D4" s="9">
        <v>40.630000000000003</v>
      </c>
      <c r="E4" s="5">
        <f>B4/(C4*D4)</f>
        <v>4.9224710804824019</v>
      </c>
      <c r="F4" s="6">
        <f>E4/4</f>
        <v>1.2306177701206005</v>
      </c>
      <c r="G4" s="23">
        <f t="shared" si="2"/>
        <v>2.75E-2</v>
      </c>
      <c r="H4" s="23">
        <f>11000/200000</f>
        <v>5.5E-2</v>
      </c>
      <c r="I4" s="9">
        <v>40.630000000000003</v>
      </c>
      <c r="J4" s="8">
        <f>I4-(G4*I4*6)</f>
        <v>33.926050000000004</v>
      </c>
      <c r="K4" s="10"/>
      <c r="L4" s="8">
        <f>AVERAGE(I4,K4)</f>
        <v>40.630000000000003</v>
      </c>
      <c r="M4" s="8">
        <f>(L4*G4)+L4</f>
        <v>41.747325000000004</v>
      </c>
      <c r="N4" s="8">
        <f>(L4*H4)+L4</f>
        <v>42.864650000000005</v>
      </c>
      <c r="O4" s="19">
        <f>(N4-L4)*F4*C4</f>
        <v>8250.0000000000073</v>
      </c>
    </row>
    <row r="5" spans="1:16">
      <c r="E5" s="20"/>
      <c r="F5" s="20"/>
      <c r="J5" s="19"/>
      <c r="K5" s="19"/>
      <c r="L5" s="19"/>
      <c r="M5" s="19"/>
      <c r="O5" s="19"/>
    </row>
    <row r="6" spans="1:16">
      <c r="A6" s="17" t="s">
        <v>97</v>
      </c>
    </row>
    <row r="7" spans="1:16" ht="16.5">
      <c r="A7" s="18" t="s">
        <v>98</v>
      </c>
      <c r="K7" t="s">
        <v>121</v>
      </c>
    </row>
    <row r="8" spans="1:16" ht="16.5">
      <c r="A8" s="18" t="s">
        <v>99</v>
      </c>
      <c r="K8" t="s">
        <v>122</v>
      </c>
    </row>
    <row r="9" spans="1:16" ht="16.5">
      <c r="A9" s="18" t="s">
        <v>105</v>
      </c>
      <c r="K9" t="s">
        <v>123</v>
      </c>
    </row>
    <row r="10" spans="1:16" ht="16.5">
      <c r="A10" s="18" t="s">
        <v>106</v>
      </c>
      <c r="K10" t="s">
        <v>124</v>
      </c>
    </row>
    <row r="11" spans="1:16" ht="16.5">
      <c r="A11" s="18" t="s">
        <v>107</v>
      </c>
    </row>
    <row r="12" spans="1:16" ht="16.5">
      <c r="A12" s="18" t="s">
        <v>100</v>
      </c>
    </row>
    <row r="13" spans="1:16" ht="16.5">
      <c r="A13" s="18" t="s">
        <v>101</v>
      </c>
    </row>
    <row r="14" spans="1:16" ht="16.5">
      <c r="A14" s="18" t="s">
        <v>102</v>
      </c>
    </row>
    <row r="15" spans="1:16" ht="16.5">
      <c r="A15" s="18" t="s">
        <v>103</v>
      </c>
    </row>
    <row r="16" spans="1:16" ht="16.5">
      <c r="A16" s="18" t="s">
        <v>104</v>
      </c>
    </row>
  </sheetData>
  <pageMargins left="0.7" right="0.7" top="0.75" bottom="0.75" header="0.3" footer="0.3"/>
  <pageSetup orientation="portrait" r:id="rId1"/>
  <headerFooter>
    <oddFooter>&amp;R_x000D_&amp;1#&amp;"Aptos"&amp;8&amp;K000000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4E00-CB5E-4B01-866B-6739728E7AFF}">
  <dimension ref="A1:A20"/>
  <sheetViews>
    <sheetView workbookViewId="0">
      <selection activeCell="A14" sqref="A14:A20"/>
    </sheetView>
  </sheetViews>
  <sheetFormatPr defaultRowHeight="14.5"/>
  <sheetData>
    <row r="1" spans="1:1">
      <c r="A1" s="7" t="s">
        <v>112</v>
      </c>
    </row>
    <row r="2" spans="1:1">
      <c r="A2" t="s">
        <v>108</v>
      </c>
    </row>
    <row r="3" spans="1:1">
      <c r="A3" t="s">
        <v>109</v>
      </c>
    </row>
    <row r="4" spans="1:1">
      <c r="A4" t="s">
        <v>111</v>
      </c>
    </row>
    <row r="6" spans="1:1">
      <c r="A6" t="s">
        <v>110</v>
      </c>
    </row>
    <row r="10" spans="1:1">
      <c r="A10" s="7" t="s">
        <v>113</v>
      </c>
    </row>
    <row r="14" spans="1:1">
      <c r="A14" t="s">
        <v>114</v>
      </c>
    </row>
    <row r="15" spans="1:1">
      <c r="A15" t="s">
        <v>115</v>
      </c>
    </row>
    <row r="16" spans="1:1">
      <c r="A16" t="s">
        <v>116</v>
      </c>
    </row>
    <row r="17" spans="1:1">
      <c r="A17" t="s">
        <v>117</v>
      </c>
    </row>
    <row r="18" spans="1:1">
      <c r="A18" t="s">
        <v>120</v>
      </c>
    </row>
    <row r="19" spans="1:1">
      <c r="A19" t="s">
        <v>118</v>
      </c>
    </row>
    <row r="20" spans="1:1">
      <c r="A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C879-5FD2-40EE-A4C7-E9D8414B0ACF}">
  <dimension ref="A1:O177"/>
  <sheetViews>
    <sheetView workbookViewId="0"/>
  </sheetViews>
  <sheetFormatPr defaultRowHeight="14.5"/>
  <sheetData>
    <row r="1" spans="1:15" ht="23.5">
      <c r="A1" s="7" t="s">
        <v>7</v>
      </c>
      <c r="O1" s="12" t="s">
        <v>28</v>
      </c>
    </row>
    <row r="2" spans="1:15">
      <c r="A2" t="s">
        <v>96</v>
      </c>
      <c r="O2" s="13"/>
    </row>
    <row r="3" spans="1:15">
      <c r="A3" t="s">
        <v>8</v>
      </c>
      <c r="O3" s="14" t="s">
        <v>29</v>
      </c>
    </row>
    <row r="4" spans="1:15">
      <c r="A4" t="s">
        <v>9</v>
      </c>
      <c r="O4" s="13"/>
    </row>
    <row r="5" spans="1:15">
      <c r="A5" t="s">
        <v>10</v>
      </c>
      <c r="O5" s="14" t="s">
        <v>30</v>
      </c>
    </row>
    <row r="6" spans="1:15">
      <c r="A6" t="s">
        <v>11</v>
      </c>
      <c r="O6" s="13"/>
    </row>
    <row r="7" spans="1:15">
      <c r="A7" s="11" t="s">
        <v>12</v>
      </c>
      <c r="O7" s="13" t="s">
        <v>31</v>
      </c>
    </row>
    <row r="8" spans="1:15">
      <c r="A8" t="s">
        <v>13</v>
      </c>
      <c r="O8" s="13"/>
    </row>
    <row r="9" spans="1:15">
      <c r="A9" s="11" t="s">
        <v>22</v>
      </c>
      <c r="O9" s="13" t="s">
        <v>32</v>
      </c>
    </row>
    <row r="10" spans="1:15">
      <c r="A10" s="11" t="s">
        <v>21</v>
      </c>
      <c r="O10" s="13"/>
    </row>
    <row r="11" spans="1:15">
      <c r="A11" s="11" t="s">
        <v>23</v>
      </c>
      <c r="O11" s="13"/>
    </row>
    <row r="12" spans="1:15">
      <c r="A12" s="11" t="s">
        <v>24</v>
      </c>
      <c r="O12" s="15"/>
    </row>
    <row r="13" spans="1:15">
      <c r="A13" s="11" t="s">
        <v>25</v>
      </c>
      <c r="O13" s="16" t="s">
        <v>33</v>
      </c>
    </row>
    <row r="14" spans="1:15">
      <c r="A14" s="11" t="s">
        <v>26</v>
      </c>
      <c r="O14" s="15"/>
    </row>
    <row r="15" spans="1:15">
      <c r="A15" s="11" t="s">
        <v>27</v>
      </c>
      <c r="O15" s="16" t="s">
        <v>34</v>
      </c>
    </row>
    <row r="19" spans="15:15" ht="23.5">
      <c r="O19" s="12" t="s">
        <v>35</v>
      </c>
    </row>
    <row r="20" spans="15:15">
      <c r="O20" s="13"/>
    </row>
    <row r="21" spans="15:15">
      <c r="O21" s="13" t="s">
        <v>36</v>
      </c>
    </row>
    <row r="22" spans="15:15">
      <c r="O22" s="13"/>
    </row>
    <row r="23" spans="15:15">
      <c r="O23" s="13"/>
    </row>
    <row r="24" spans="15:15">
      <c r="O24" s="15"/>
    </row>
    <row r="25" spans="15:15">
      <c r="O25" s="15" t="s">
        <v>37</v>
      </c>
    </row>
    <row r="26" spans="15:15">
      <c r="O26" s="15"/>
    </row>
    <row r="27" spans="15:15">
      <c r="O27" s="15" t="s">
        <v>38</v>
      </c>
    </row>
    <row r="28" spans="15:15">
      <c r="O28" s="13"/>
    </row>
    <row r="29" spans="15:15">
      <c r="O29" s="13" t="s">
        <v>39</v>
      </c>
    </row>
    <row r="30" spans="15:15">
      <c r="O30" s="13"/>
    </row>
    <row r="31" spans="15:15">
      <c r="O31" s="13"/>
    </row>
    <row r="32" spans="15:15">
      <c r="O32" s="15"/>
    </row>
    <row r="33" spans="15:15">
      <c r="O33" s="16" t="s">
        <v>40</v>
      </c>
    </row>
    <row r="34" spans="15:15">
      <c r="O34" s="15"/>
    </row>
    <row r="35" spans="15:15">
      <c r="O35" s="15" t="s">
        <v>41</v>
      </c>
    </row>
    <row r="36" spans="15:15">
      <c r="O36" s="13"/>
    </row>
    <row r="37" spans="15:15">
      <c r="O37" s="14" t="s">
        <v>42</v>
      </c>
    </row>
    <row r="38" spans="15:15">
      <c r="O38" s="13"/>
    </row>
    <row r="39" spans="15:15">
      <c r="O39" s="13"/>
    </row>
    <row r="40" spans="15:15">
      <c r="O40" s="15"/>
    </row>
    <row r="41" spans="15:15">
      <c r="O41" s="15" t="s">
        <v>43</v>
      </c>
    </row>
    <row r="42" spans="15:15">
      <c r="O42" s="15"/>
    </row>
    <row r="43" spans="15:15">
      <c r="O43" s="15" t="s">
        <v>44</v>
      </c>
    </row>
    <row r="47" spans="15:15" ht="23.5">
      <c r="O47" s="12" t="s">
        <v>45</v>
      </c>
    </row>
    <row r="48" spans="15:15">
      <c r="O48" s="13"/>
    </row>
    <row r="49" spans="15:15">
      <c r="O49" s="14" t="s">
        <v>46</v>
      </c>
    </row>
    <row r="50" spans="15:15">
      <c r="O50" s="13"/>
    </row>
    <row r="51" spans="15:15">
      <c r="O51" s="13" t="s">
        <v>47</v>
      </c>
    </row>
    <row r="52" spans="15:15">
      <c r="O52" s="13"/>
    </row>
    <row r="53" spans="15:15">
      <c r="O53" s="13"/>
    </row>
    <row r="54" spans="15:15">
      <c r="O54" s="15"/>
    </row>
    <row r="55" spans="15:15">
      <c r="O55" s="16" t="s">
        <v>48</v>
      </c>
    </row>
    <row r="56" spans="15:15">
      <c r="O56" s="15"/>
    </row>
    <row r="57" spans="15:15">
      <c r="O57" s="16" t="s">
        <v>49</v>
      </c>
    </row>
    <row r="58" spans="15:15">
      <c r="O58" s="13"/>
    </row>
    <row r="59" spans="15:15">
      <c r="O59" s="13" t="s">
        <v>50</v>
      </c>
    </row>
    <row r="60" spans="15:15">
      <c r="O60" s="13"/>
    </row>
    <row r="61" spans="15:15">
      <c r="O61" s="13"/>
    </row>
    <row r="62" spans="15:15">
      <c r="O62" s="15"/>
    </row>
    <row r="63" spans="15:15">
      <c r="O63" s="15" t="s">
        <v>51</v>
      </c>
    </row>
    <row r="64" spans="15:15">
      <c r="O64" s="15"/>
    </row>
    <row r="65" spans="15:15">
      <c r="O65" s="15" t="s">
        <v>52</v>
      </c>
    </row>
    <row r="66" spans="15:15">
      <c r="O66" s="13"/>
    </row>
    <row r="67" spans="15:15">
      <c r="O67" s="14" t="s">
        <v>53</v>
      </c>
    </row>
    <row r="68" spans="15:15">
      <c r="O68" s="13"/>
    </row>
    <row r="69" spans="15:15">
      <c r="O69" s="13"/>
    </row>
    <row r="70" spans="15:15">
      <c r="O70" s="15"/>
    </row>
    <row r="71" spans="15:15">
      <c r="O71" s="15" t="s">
        <v>54</v>
      </c>
    </row>
    <row r="75" spans="15:15" ht="23.5">
      <c r="O75" s="12" t="s">
        <v>55</v>
      </c>
    </row>
    <row r="77" spans="15:15">
      <c r="O77" t="s">
        <v>56</v>
      </c>
    </row>
    <row r="78" spans="15:15">
      <c r="O78" s="13"/>
    </row>
    <row r="79" spans="15:15">
      <c r="O79" s="14" t="s">
        <v>57</v>
      </c>
    </row>
    <row r="80" spans="15:15">
      <c r="O80" s="13"/>
    </row>
    <row r="81" spans="15:15">
      <c r="O81" s="14" t="s">
        <v>58</v>
      </c>
    </row>
    <row r="82" spans="15:15">
      <c r="O82" s="13"/>
    </row>
    <row r="83" spans="15:15">
      <c r="O83" s="14" t="s">
        <v>59</v>
      </c>
    </row>
    <row r="84" spans="15:15">
      <c r="O84" s="13"/>
    </row>
    <row r="85" spans="15:15">
      <c r="O85" s="13"/>
    </row>
    <row r="86" spans="15:15">
      <c r="O86" s="15"/>
    </row>
    <row r="87" spans="15:15">
      <c r="O87" s="15" t="s">
        <v>60</v>
      </c>
    </row>
    <row r="88" spans="15:15">
      <c r="O88" s="15"/>
    </row>
    <row r="89" spans="15:15">
      <c r="O89" s="15" t="s">
        <v>61</v>
      </c>
    </row>
    <row r="90" spans="15:15">
      <c r="O90" s="13"/>
    </row>
    <row r="91" spans="15:15">
      <c r="O91" s="14" t="s">
        <v>62</v>
      </c>
    </row>
    <row r="92" spans="15:15">
      <c r="O92" s="13"/>
    </row>
    <row r="93" spans="15:15">
      <c r="O93" s="13"/>
    </row>
    <row r="94" spans="15:15">
      <c r="O94" s="15"/>
    </row>
    <row r="95" spans="15:15">
      <c r="O95" s="15" t="s">
        <v>63</v>
      </c>
    </row>
    <row r="96" spans="15:15">
      <c r="O96" s="15"/>
    </row>
    <row r="97" spans="15:15">
      <c r="O97" s="15" t="s">
        <v>64</v>
      </c>
    </row>
    <row r="98" spans="15:15">
      <c r="O98" s="13"/>
    </row>
    <row r="99" spans="15:15">
      <c r="O99" s="14" t="s">
        <v>65</v>
      </c>
    </row>
    <row r="100" spans="15:15">
      <c r="O100" s="13"/>
    </row>
    <row r="101" spans="15:15">
      <c r="O101" s="13"/>
    </row>
    <row r="102" spans="15:15">
      <c r="O102" s="15"/>
    </row>
    <row r="103" spans="15:15">
      <c r="O103" s="15" t="s">
        <v>66</v>
      </c>
    </row>
    <row r="104" spans="15:15">
      <c r="O104" s="15"/>
    </row>
    <row r="105" spans="15:15">
      <c r="O105" s="15" t="s">
        <v>67</v>
      </c>
    </row>
    <row r="109" spans="15:15" ht="23.5">
      <c r="O109" s="12" t="s">
        <v>68</v>
      </c>
    </row>
    <row r="110" spans="15:15">
      <c r="O110" s="13"/>
    </row>
    <row r="111" spans="15:15">
      <c r="O111" s="13" t="s">
        <v>69</v>
      </c>
    </row>
    <row r="112" spans="15:15">
      <c r="O112" s="13"/>
    </row>
    <row r="113" spans="15:15">
      <c r="O113" s="13"/>
    </row>
    <row r="114" spans="15:15">
      <c r="O114" s="15"/>
    </row>
    <row r="115" spans="15:15">
      <c r="O115" s="16" t="s">
        <v>70</v>
      </c>
    </row>
    <row r="116" spans="15:15">
      <c r="O116" s="15"/>
    </row>
    <row r="117" spans="15:15">
      <c r="O117" s="16" t="s">
        <v>71</v>
      </c>
    </row>
    <row r="118" spans="15:15">
      <c r="O118" s="15"/>
    </row>
    <row r="119" spans="15:15">
      <c r="O119" s="16" t="s">
        <v>72</v>
      </c>
    </row>
    <row r="120" spans="15:15">
      <c r="O120" s="15"/>
    </row>
    <row r="121" spans="15:15">
      <c r="O121" s="16" t="s">
        <v>73</v>
      </c>
    </row>
    <row r="122" spans="15:15">
      <c r="O122" s="13"/>
    </row>
    <row r="123" spans="15:15">
      <c r="O123" s="14" t="s">
        <v>74</v>
      </c>
    </row>
    <row r="124" spans="15:15">
      <c r="O124" s="13"/>
    </row>
    <row r="125" spans="15:15">
      <c r="O125" s="13" t="s">
        <v>75</v>
      </c>
    </row>
    <row r="126" spans="15:15">
      <c r="O126" s="13"/>
    </row>
    <row r="127" spans="15:15">
      <c r="O127" s="13"/>
    </row>
    <row r="128" spans="15:15">
      <c r="O128" s="15"/>
    </row>
    <row r="129" spans="15:15">
      <c r="O129" s="16" t="s">
        <v>76</v>
      </c>
    </row>
    <row r="130" spans="15:15">
      <c r="O130" s="15"/>
    </row>
    <row r="131" spans="15:15">
      <c r="O131" s="16" t="s">
        <v>77</v>
      </c>
    </row>
    <row r="132" spans="15:15">
      <c r="O132" s="13"/>
    </row>
    <row r="133" spans="15:15">
      <c r="O133" s="14" t="s">
        <v>78</v>
      </c>
    </row>
    <row r="137" spans="15:15" ht="23.5">
      <c r="O137" s="12" t="s">
        <v>79</v>
      </c>
    </row>
    <row r="138" spans="15:15">
      <c r="O138" s="13"/>
    </row>
    <row r="139" spans="15:15">
      <c r="O139" s="14" t="s">
        <v>80</v>
      </c>
    </row>
    <row r="140" spans="15:15">
      <c r="O140" s="13"/>
    </row>
    <row r="141" spans="15:15">
      <c r="O141" s="13"/>
    </row>
    <row r="142" spans="15:15">
      <c r="O142" s="15"/>
    </row>
    <row r="143" spans="15:15">
      <c r="O143" s="15" t="s">
        <v>81</v>
      </c>
    </row>
    <row r="144" spans="15:15">
      <c r="O144" s="15"/>
    </row>
    <row r="145" spans="15:15">
      <c r="O145" s="15" t="s">
        <v>82</v>
      </c>
    </row>
    <row r="146" spans="15:15">
      <c r="O146" s="15"/>
    </row>
    <row r="147" spans="15:15">
      <c r="O147" s="15" t="s">
        <v>83</v>
      </c>
    </row>
    <row r="148" spans="15:15">
      <c r="O148" s="13"/>
    </row>
    <row r="149" spans="15:15">
      <c r="O149" s="13" t="s">
        <v>84</v>
      </c>
    </row>
    <row r="150" spans="15:15">
      <c r="O150" s="13"/>
    </row>
    <row r="151" spans="15:15">
      <c r="O151" s="13"/>
    </row>
    <row r="152" spans="15:15">
      <c r="O152" s="15"/>
    </row>
    <row r="153" spans="15:15">
      <c r="O153" s="15" t="s">
        <v>85</v>
      </c>
    </row>
    <row r="154" spans="15:15">
      <c r="O154" s="13"/>
    </row>
    <row r="155" spans="15:15">
      <c r="O155" s="14" t="s">
        <v>86</v>
      </c>
    </row>
    <row r="156" spans="15:15">
      <c r="O156" s="13"/>
    </row>
    <row r="157" spans="15:15">
      <c r="O157" s="13" t="s">
        <v>87</v>
      </c>
    </row>
    <row r="161" spans="15:15" ht="23.5">
      <c r="O161" s="12" t="s">
        <v>88</v>
      </c>
    </row>
    <row r="162" spans="15:15">
      <c r="O162" s="13"/>
    </row>
    <row r="163" spans="15:15">
      <c r="O163" s="14" t="s">
        <v>89</v>
      </c>
    </row>
    <row r="164" spans="15:15">
      <c r="O164" s="13"/>
    </row>
    <row r="165" spans="15:15">
      <c r="O165" s="13"/>
    </row>
    <row r="166" spans="15:15">
      <c r="O166" s="15"/>
    </row>
    <row r="167" spans="15:15">
      <c r="O167" s="15" t="s">
        <v>90</v>
      </c>
    </row>
    <row r="168" spans="15:15">
      <c r="O168" s="15"/>
    </row>
    <row r="169" spans="15:15">
      <c r="O169" s="15" t="s">
        <v>91</v>
      </c>
    </row>
    <row r="170" spans="15:15">
      <c r="O170" s="15"/>
    </row>
    <row r="171" spans="15:15">
      <c r="O171" s="15" t="s">
        <v>92</v>
      </c>
    </row>
    <row r="172" spans="15:15">
      <c r="O172" s="13"/>
    </row>
    <row r="173" spans="15:15">
      <c r="O173" s="14" t="s">
        <v>93</v>
      </c>
    </row>
    <row r="174" spans="15:15">
      <c r="O174" s="13"/>
    </row>
    <row r="175" spans="15:15">
      <c r="O175" s="13" t="s">
        <v>94</v>
      </c>
    </row>
    <row r="176" spans="15:15">
      <c r="O176" s="13"/>
    </row>
    <row r="177" spans="15:15">
      <c r="O177" s="13" t="s">
        <v>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 Setup (Futures Sell)</vt:lpstr>
      <vt:lpstr>Trade Setup Batch (Option)</vt:lpstr>
      <vt:lpstr>Sheet1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Hemant Kumar Chouhan -X (kuchouha - PERSISTENT SYSTEMS LIMITED at Cisco)</dc:creator>
  <cp:lastModifiedBy>kunal chouhan</cp:lastModifiedBy>
  <dcterms:created xsi:type="dcterms:W3CDTF">2025-11-17T05:38:27Z</dcterms:created>
  <dcterms:modified xsi:type="dcterms:W3CDTF">2026-04-11T09:07:52Z</dcterms:modified>
</cp:coreProperties>
</file>